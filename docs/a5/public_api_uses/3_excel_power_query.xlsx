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rwhitewolf\Desktop\QuadConnect\13_QuadConnect\docs\a5\public_api_uses\"/>
    </mc:Choice>
  </mc:AlternateContent>
  <bookViews>
    <workbookView xWindow="0" yWindow="0" windowWidth="23580" windowHeight="10830"/>
  </bookViews>
  <sheets>
    <sheet name="Public API" sheetId="1" r:id="rId1"/>
  </sheets>
  <definedNames>
    <definedName name="ExternalData_1" localSheetId="0" hidden="1">'Public API'!$A$3:$C$25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8" i="1"/>
  <c r="J6" i="1"/>
  <c r="I6" i="1"/>
  <c r="H6" i="1"/>
  <c r="G6" i="1"/>
  <c r="J5" i="1"/>
  <c r="I5" i="1"/>
  <c r="H5" i="1"/>
  <c r="G5" i="1"/>
  <c r="J4" i="1"/>
  <c r="I4" i="1"/>
  <c r="H4" i="1"/>
  <c r="G4" i="1"/>
</calcChain>
</file>

<file path=xl/connections.xml><?xml version="1.0" encoding="utf-8"?>
<connections xmlns="http://schemas.openxmlformats.org/spreadsheetml/2006/main">
  <connection id="1" keepAlive="1" name="Connection" type="5" refreshedVersion="6" saveData="1">
    <dbPr connection="Provider=Microsoft.Mashup.OleDb.1;Data Source=$Workbook$;Location=QuadConnect_Summary;Extended Properties=&quot;&quot;" command="SELECT * FROM [QuadConnect_Summary]"/>
  </connection>
</connections>
</file>

<file path=xl/sharedStrings.xml><?xml version="1.0" encoding="utf-8"?>
<sst xmlns="http://schemas.openxmlformats.org/spreadsheetml/2006/main" count="59" uniqueCount="36">
  <si>
    <t>Interest</t>
  </si>
  <si>
    <t>Students</t>
  </si>
  <si>
    <t>Type</t>
  </si>
  <si>
    <t>Food</t>
  </si>
  <si>
    <t>Hobby / Interest</t>
  </si>
  <si>
    <t>Movies</t>
  </si>
  <si>
    <t>Fitness</t>
  </si>
  <si>
    <t>Gaming</t>
  </si>
  <si>
    <t>Music</t>
  </si>
  <si>
    <t>UIUC Esports</t>
  </si>
  <si>
    <t>Registered Student Organization</t>
  </si>
  <si>
    <t>Art</t>
  </si>
  <si>
    <t>Basketball</t>
  </si>
  <si>
    <t>Outdoors</t>
  </si>
  <si>
    <t>Photography</t>
  </si>
  <si>
    <t>Reading</t>
  </si>
  <si>
    <t>Business Illini</t>
  </si>
  <si>
    <t>Engineers Without Borders</t>
  </si>
  <si>
    <t>Habitat for Humanity UIUC</t>
  </si>
  <si>
    <t>Illini Media</t>
  </si>
  <si>
    <t>Illini Robotics</t>
  </si>
  <si>
    <t>Illinois Student Government</t>
  </si>
  <si>
    <t>Indian Students Association</t>
  </si>
  <si>
    <t>Technology</t>
  </si>
  <si>
    <t>Travel</t>
  </si>
  <si>
    <t>UIUC Dance Marathon</t>
  </si>
  <si>
    <t>UIUC Pre-Med Society</t>
  </si>
  <si>
    <t>QuadConnect public API in Excel (Power Query, refreshable)</t>
  </si>
  <si>
    <t>Source: https://manojkmohan43.pythonanywhere.com/api/summary/ (Data &gt; Refresh All reloads it)</t>
  </si>
  <si>
    <t>Interests</t>
  </si>
  <si>
    <t>Students' picks</t>
  </si>
  <si>
    <t>Share of picks</t>
  </si>
  <si>
    <t>Average per interest</t>
  </si>
  <si>
    <t>Total</t>
  </si>
  <si>
    <t>Most picked</t>
  </si>
  <si>
    <t>Picked by one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</si>
</sst>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2" fontId="0" fillId="0" borderId="0" xfId="0" applyNumberFormat="1"/>
    <xf numFmtId="9" fontId="1" fillId="0" borderId="0" xfId="0" applyNumberFormat="1" applyFont="1"/>
    <xf numFmtId="2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/>
              <a:t>Students' picks by type, from the public API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'Public API'!$H$3</c:f>
              <c:strCache>
                <c:ptCount val="1"/>
                <c:pt idx="0">
                  <c:v>Students' picks</c:v>
                </c:pt>
              </c:strCache>
            </c:strRef>
          </c:tx>
          <c:spPr>
            <a:solidFill>
              <a:srgbClr val="C0421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'Public API'!$F$4:$F$5</c:f>
              <c:strCache>
                <c:ptCount val="2"/>
                <c:pt idx="0">
                  <c:v>Hobby / Interest</c:v>
                </c:pt>
                <c:pt idx="1">
                  <c:v>Registered Student Organization</c:v>
                </c:pt>
              </c:strCache>
            </c:strRef>
          </c:cat>
          <c:val>
            <c:numRef>
              <c:f>'Public API'!$H$4:$H$5</c:f>
              <c:numCache>
                <c:formatCode>General</c:formatCode>
                <c:ptCount val="2"/>
                <c:pt idx="0">
                  <c:v>29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28-46F2-BC06-AB56A2014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194111"/>
        <c:axId val="87197855"/>
      </c:barChart>
      <c:catAx>
        <c:axId val="87194111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crossAx val="87197855"/>
        <c:crosses val="autoZero"/>
        <c:auto val="1"/>
        <c:lblAlgn val="ctr"/>
        <c:lblOffset val="100"/>
        <c:noMultiLvlLbl val="0"/>
      </c:catAx>
      <c:valAx>
        <c:axId val="87197855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87194111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10</xdr:col>
      <xdr:colOff>381000</xdr:colOff>
      <xdr:row>25</xdr:row>
      <xdr:rowOff>31750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1" backgroundRefresh="0" connectionId="1" autoFormatId="0" applyNumberFormats="0" applyBorderFormats="0" applyFontFormats="1" applyPatternFormats="1" applyAlignmentFormats="0" applyWidthHeightFormats="0">
  <queryTableRefresh nextId="4">
    <queryTableFields count="3">
      <queryTableField id="1" name="Interest" tableColumnId="4"/>
      <queryTableField id="2" name="Students" tableColumnId="5"/>
      <queryTableField id="3" name="Typ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ummary" displayName="Summary" ref="A3:C25" tableType="queryTable" totalsRowShown="0">
  <autoFilter ref="A3:C25"/>
  <tableColumns count="3">
    <tableColumn id="4" uniqueName="4" name="Interest" queryTableFieldId="1"/>
    <tableColumn id="5" uniqueName="5" name="Students" queryTableFieldId="2"/>
    <tableColumn id="6" uniqueName="6" name="Type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activeCell="A3" sqref="A3:C25"/>
    </sheetView>
  </sheetViews>
  <sheetFormatPr defaultRowHeight="14.5" x14ac:dyDescent="0.35"/>
  <cols>
    <col min="1" max="1" width="24.26953125" bestFit="1" customWidth="1"/>
    <col min="2" max="2" width="10.54296875" bestFit="1" customWidth="1"/>
    <col min="3" max="3" width="27.90625" bestFit="1" customWidth="1"/>
    <col min="6" max="6" width="27.90625" bestFit="1" customWidth="1"/>
    <col min="7" max="7" width="8.26953125" customWidth="1"/>
    <col min="8" max="8" width="13.453125" bestFit="1" customWidth="1"/>
    <col min="9" max="9" width="12.36328125" bestFit="1" customWidth="1"/>
    <col min="10" max="10" width="18" bestFit="1" customWidth="1"/>
  </cols>
  <sheetData>
    <row r="1" spans="1:10" ht="18.5" x14ac:dyDescent="0.45">
      <c r="A1" s="2" t="s">
        <v>27</v>
      </c>
    </row>
    <row r="2" spans="1:10" x14ac:dyDescent="0.35">
      <c r="A2" t="s">
        <v>28</v>
      </c>
    </row>
    <row r="3" spans="1:10" x14ac:dyDescent="0.35">
      <c r="A3" s="7" t="s">
        <v>0</v>
      </c>
      <c r="B3" s="7" t="s">
        <v>1</v>
      </c>
      <c r="C3" s="7" t="s">
        <v>2</v>
      </c>
      <c r="F3" s="1" t="s">
        <v>2</v>
      </c>
      <c r="G3" s="1" t="s">
        <v>29</v>
      </c>
      <c r="H3" s="1" t="s">
        <v>30</v>
      </c>
      <c r="I3" s="1" t="s">
        <v>31</v>
      </c>
      <c r="J3" s="1" t="s">
        <v>32</v>
      </c>
    </row>
    <row r="4" spans="1:10" x14ac:dyDescent="0.35">
      <c r="A4" s="7" t="s">
        <v>3</v>
      </c>
      <c r="B4" s="7">
        <v>4</v>
      </c>
      <c r="C4" s="7" t="s">
        <v>4</v>
      </c>
      <c r="F4" t="s">
        <v>4</v>
      </c>
      <c r="G4">
        <f>COUNTIFS(Summary[Type],F4)</f>
        <v>12</v>
      </c>
      <c r="H4">
        <f>SUMIFS(Summary[Students],Summary[Type],F4)</f>
        <v>29</v>
      </c>
      <c r="I4" s="3">
        <f>H4/SUM(Summary[Students])</f>
        <v>0.70731707317073167</v>
      </c>
      <c r="J4" s="4">
        <f>AVERAGEIFS(Summary[Students],Summary[Type],F4)</f>
        <v>2.4166666666666665</v>
      </c>
    </row>
    <row r="5" spans="1:10" x14ac:dyDescent="0.35">
      <c r="A5" s="7" t="s">
        <v>5</v>
      </c>
      <c r="B5" s="7">
        <v>4</v>
      </c>
      <c r="C5" s="7" t="s">
        <v>4</v>
      </c>
      <c r="F5" t="s">
        <v>10</v>
      </c>
      <c r="G5">
        <f>COUNTIFS(Summary[Type],F5)</f>
        <v>10</v>
      </c>
      <c r="H5">
        <f>SUMIFS(Summary[Students],Summary[Type],F5)</f>
        <v>12</v>
      </c>
      <c r="I5" s="3">
        <f>H5/SUM(Summary[Students])</f>
        <v>0.29268292682926828</v>
      </c>
      <c r="J5" s="4">
        <f>AVERAGEIFS(Summary[Students],Summary[Type],F5)</f>
        <v>1.2</v>
      </c>
    </row>
    <row r="6" spans="1:10" x14ac:dyDescent="0.35">
      <c r="A6" s="7" t="s">
        <v>6</v>
      </c>
      <c r="B6" s="7">
        <v>3</v>
      </c>
      <c r="C6" s="7" t="s">
        <v>4</v>
      </c>
      <c r="F6" s="1" t="s">
        <v>33</v>
      </c>
      <c r="G6" s="1">
        <f>ROWS(Summary[Interest])</f>
        <v>22</v>
      </c>
      <c r="H6" s="1">
        <f>SUM(Summary[Students])</f>
        <v>41</v>
      </c>
      <c r="I6" s="5">
        <f>SUM(I4:I5)</f>
        <v>1</v>
      </c>
      <c r="J6" s="6">
        <f>AVERAGE(Summary[Students])</f>
        <v>1.8636363636363635</v>
      </c>
    </row>
    <row r="7" spans="1:10" x14ac:dyDescent="0.35">
      <c r="A7" s="7" t="s">
        <v>7</v>
      </c>
      <c r="B7" s="7">
        <v>3</v>
      </c>
      <c r="C7" s="7" t="s">
        <v>4</v>
      </c>
    </row>
    <row r="8" spans="1:10" x14ac:dyDescent="0.35">
      <c r="A8" s="7" t="s">
        <v>8</v>
      </c>
      <c r="B8" s="7">
        <v>3</v>
      </c>
      <c r="C8" s="7" t="s">
        <v>4</v>
      </c>
      <c r="F8" s="1" t="s">
        <v>34</v>
      </c>
      <c r="G8" t="str">
        <f>INDEX(Summary[Interest],MATCH(MAX(Summary[Students]),Summary[Students],0))</f>
        <v>Food</v>
      </c>
    </row>
    <row r="9" spans="1:10" x14ac:dyDescent="0.35">
      <c r="A9" s="7" t="s">
        <v>9</v>
      </c>
      <c r="B9" s="7">
        <v>3</v>
      </c>
      <c r="C9" s="7" t="s">
        <v>10</v>
      </c>
      <c r="F9" s="1" t="s">
        <v>35</v>
      </c>
      <c r="G9">
        <f>COUNTIFS(Summary[Students],1)</f>
        <v>11</v>
      </c>
    </row>
    <row r="10" spans="1:10" x14ac:dyDescent="0.35">
      <c r="A10" s="7" t="s">
        <v>11</v>
      </c>
      <c r="B10" s="7">
        <v>2</v>
      </c>
      <c r="C10" s="7" t="s">
        <v>4</v>
      </c>
    </row>
    <row r="11" spans="1:10" x14ac:dyDescent="0.35">
      <c r="A11" s="7" t="s">
        <v>12</v>
      </c>
      <c r="B11" s="7">
        <v>2</v>
      </c>
      <c r="C11" s="7" t="s">
        <v>4</v>
      </c>
    </row>
    <row r="12" spans="1:10" x14ac:dyDescent="0.35">
      <c r="A12" s="7" t="s">
        <v>13</v>
      </c>
      <c r="B12" s="7">
        <v>2</v>
      </c>
      <c r="C12" s="7" t="s">
        <v>4</v>
      </c>
    </row>
    <row r="13" spans="1:10" x14ac:dyDescent="0.35">
      <c r="A13" s="7" t="s">
        <v>14</v>
      </c>
      <c r="B13" s="7">
        <v>2</v>
      </c>
      <c r="C13" s="7" t="s">
        <v>4</v>
      </c>
    </row>
    <row r="14" spans="1:10" x14ac:dyDescent="0.35">
      <c r="A14" s="7" t="s">
        <v>15</v>
      </c>
      <c r="B14" s="7">
        <v>2</v>
      </c>
      <c r="C14" s="7" t="s">
        <v>4</v>
      </c>
    </row>
    <row r="15" spans="1:10" x14ac:dyDescent="0.35">
      <c r="A15" s="7" t="s">
        <v>16</v>
      </c>
      <c r="B15" s="7">
        <v>1</v>
      </c>
      <c r="C15" s="7" t="s">
        <v>10</v>
      </c>
    </row>
    <row r="16" spans="1:10" x14ac:dyDescent="0.35">
      <c r="A16" s="7" t="s">
        <v>17</v>
      </c>
      <c r="B16" s="7">
        <v>1</v>
      </c>
      <c r="C16" s="7" t="s">
        <v>10</v>
      </c>
    </row>
    <row r="17" spans="1:3" x14ac:dyDescent="0.35">
      <c r="A17" s="7" t="s">
        <v>18</v>
      </c>
      <c r="B17" s="7">
        <v>1</v>
      </c>
      <c r="C17" s="7" t="s">
        <v>10</v>
      </c>
    </row>
    <row r="18" spans="1:3" x14ac:dyDescent="0.35">
      <c r="A18" s="7" t="s">
        <v>19</v>
      </c>
      <c r="B18" s="7">
        <v>1</v>
      </c>
      <c r="C18" s="7" t="s">
        <v>10</v>
      </c>
    </row>
    <row r="19" spans="1:3" x14ac:dyDescent="0.35">
      <c r="A19" s="7" t="s">
        <v>20</v>
      </c>
      <c r="B19" s="7">
        <v>1</v>
      </c>
      <c r="C19" s="7" t="s">
        <v>10</v>
      </c>
    </row>
    <row r="20" spans="1:3" x14ac:dyDescent="0.35">
      <c r="A20" s="7" t="s">
        <v>21</v>
      </c>
      <c r="B20" s="7">
        <v>1</v>
      </c>
      <c r="C20" s="7" t="s">
        <v>10</v>
      </c>
    </row>
    <row r="21" spans="1:3" x14ac:dyDescent="0.35">
      <c r="A21" s="7" t="s">
        <v>22</v>
      </c>
      <c r="B21" s="7">
        <v>1</v>
      </c>
      <c r="C21" s="7" t="s">
        <v>10</v>
      </c>
    </row>
    <row r="22" spans="1:3" x14ac:dyDescent="0.35">
      <c r="A22" s="7" t="s">
        <v>23</v>
      </c>
      <c r="B22" s="7">
        <v>1</v>
      </c>
      <c r="C22" s="7" t="s">
        <v>4</v>
      </c>
    </row>
    <row r="23" spans="1:3" x14ac:dyDescent="0.35">
      <c r="A23" s="7" t="s">
        <v>24</v>
      </c>
      <c r="B23" s="7">
        <v>1</v>
      </c>
      <c r="C23" s="7" t="s">
        <v>4</v>
      </c>
    </row>
    <row r="24" spans="1:3" x14ac:dyDescent="0.35">
      <c r="A24" s="7" t="s">
        <v>25</v>
      </c>
      <c r="B24" s="7">
        <v>1</v>
      </c>
      <c r="C24" s="7" t="s">
        <v>10</v>
      </c>
    </row>
    <row r="25" spans="1:3" x14ac:dyDescent="0.35">
      <c r="A25" s="7" t="s">
        <v>26</v>
      </c>
      <c r="B25" s="7">
        <v>1</v>
      </c>
      <c r="C25" s="7" t="s">
        <v>10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9C2A60-8B98-48F9-A52C-74F553BD19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 M</dc:creator>
  <cp:lastModifiedBy>Manoj Kumar M</cp:lastModifiedBy>
  <dcterms:created xsi:type="dcterms:W3CDTF">2026-10-09T04:05:02Z</dcterms:created>
  <dcterms:modified xsi:type="dcterms:W3CDTF">2026-10-09T04:05:05Z</dcterms:modified>
</cp:coreProperties>
</file>